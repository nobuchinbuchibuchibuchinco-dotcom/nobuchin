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セクター別割合" sheetId="1" state="visible" r:id="rId1"/>
    <sheet name="円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セクター別投資割合</a:t>
            </a:r>
          </a:p>
        </rich>
      </tx>
    </title>
    <plotArea>
      <pieChart>
        <varyColors val="1"/>
        <ser>
          <idx val="0"/>
          <order val="0"/>
          <tx>
            <strRef>
              <f>'セクター別割合'!B1</f>
            </strRef>
          </tx>
          <spPr>
            <a:ln>
              <a:prstDash val="solid"/>
            </a:ln>
          </spPr>
          <cat>
            <numRef>
              <f>'セクター別割合'!$A$2:$A$20</f>
            </numRef>
          </cat>
          <val>
            <numRef>
              <f>'セクター別割合'!$B$2:$B$20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2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" t="inlineStr">
        <is>
          <t>セクター</t>
        </is>
      </c>
      <c r="B1" s="1" t="inlineStr">
        <is>
          <t>投資割合(%)</t>
        </is>
      </c>
      <c r="C1" s="1" t="inlineStr">
        <is>
          <t>投資額(円)</t>
        </is>
      </c>
    </row>
    <row r="2">
      <c r="A2" s="2" t="inlineStr">
        <is>
          <t>ETF・他</t>
        </is>
      </c>
      <c r="B2" s="2" t="n">
        <v>14.7</v>
      </c>
      <c r="C2" s="2" t="n">
        <v>38940</v>
      </c>
    </row>
    <row r="3">
      <c r="A3" s="2" t="inlineStr">
        <is>
          <t>サービス業</t>
        </is>
      </c>
      <c r="B3" s="2" t="n">
        <v>9.5</v>
      </c>
      <c r="C3" s="2" t="n">
        <v>27739</v>
      </c>
    </row>
    <row r="4">
      <c r="A4" s="2" t="inlineStr">
        <is>
          <t>化学</t>
        </is>
      </c>
      <c r="B4" s="2" t="n">
        <v>9.5</v>
      </c>
      <c r="C4" s="2" t="n">
        <v>32538</v>
      </c>
    </row>
    <row r="5">
      <c r="A5" s="2" t="inlineStr">
        <is>
          <t>情報・通信業</t>
        </is>
      </c>
      <c r="B5" s="2" t="n">
        <v>6.7</v>
      </c>
      <c r="C5" s="2" t="n">
        <v>20402</v>
      </c>
    </row>
    <row r="6">
      <c r="A6" s="2" t="inlineStr">
        <is>
          <t>卸売業</t>
        </is>
      </c>
      <c r="B6" s="2" t="n">
        <v>6.8</v>
      </c>
      <c r="C6" s="2" t="n">
        <v>19426</v>
      </c>
    </row>
    <row r="7">
      <c r="A7" s="2" t="inlineStr">
        <is>
          <t>倉庫・運輸関連業</t>
        </is>
      </c>
      <c r="B7" s="2" t="n">
        <v>6.5</v>
      </c>
      <c r="C7" s="2" t="n">
        <v>18798</v>
      </c>
    </row>
    <row r="8">
      <c r="A8" s="2" t="inlineStr">
        <is>
          <t>その他製品</t>
        </is>
      </c>
      <c r="B8" s="2" t="n">
        <v>6.2</v>
      </c>
      <c r="C8" s="2" t="n">
        <v>16606</v>
      </c>
    </row>
    <row r="9">
      <c r="A9" s="2" t="inlineStr">
        <is>
          <t>小売業</t>
        </is>
      </c>
      <c r="B9" s="2" t="n">
        <v>5.4</v>
      </c>
      <c r="C9" s="2" t="n">
        <v>18579</v>
      </c>
    </row>
    <row r="10">
      <c r="A10" s="2" t="inlineStr">
        <is>
          <t>不動産業</t>
        </is>
      </c>
      <c r="B10" s="2" t="n">
        <v>5.9</v>
      </c>
      <c r="C10" s="2" t="n">
        <v>17232</v>
      </c>
    </row>
    <row r="11">
      <c r="A11" s="2" t="inlineStr">
        <is>
          <t>その他金融業</t>
        </is>
      </c>
      <c r="B11" s="2" t="n">
        <v>4.8</v>
      </c>
      <c r="C11" s="2" t="n">
        <v>10815</v>
      </c>
    </row>
    <row r="12">
      <c r="A12" s="2" t="inlineStr">
        <is>
          <t>機械</t>
        </is>
      </c>
      <c r="B12" s="2" t="n">
        <v>3.6</v>
      </c>
      <c r="C12" s="2" t="n">
        <v>9310</v>
      </c>
    </row>
    <row r="13">
      <c r="A13" s="2" t="inlineStr">
        <is>
          <t>金属製品</t>
        </is>
      </c>
      <c r="B13" s="2" t="n">
        <v>3.8</v>
      </c>
      <c r="C13" s="2" t="n">
        <v>9852</v>
      </c>
    </row>
    <row r="14">
      <c r="A14" s="2" t="inlineStr">
        <is>
          <t>建設業</t>
        </is>
      </c>
      <c r="B14" s="2" t="n">
        <v>3.5</v>
      </c>
      <c r="C14" s="2" t="n">
        <v>10098</v>
      </c>
    </row>
    <row r="15">
      <c r="A15" s="2" t="inlineStr">
        <is>
          <t>保険業</t>
        </is>
      </c>
      <c r="B15" s="2" t="n">
        <v>2.5</v>
      </c>
      <c r="C15" s="2" t="n">
        <v>8700</v>
      </c>
    </row>
    <row r="16">
      <c r="A16" s="2" t="inlineStr">
        <is>
          <t>精密機器</t>
        </is>
      </c>
      <c r="B16" s="2" t="n">
        <v>2.7</v>
      </c>
      <c r="C16" s="2" t="n">
        <v>8940</v>
      </c>
    </row>
    <row r="17">
      <c r="A17" s="2" t="inlineStr">
        <is>
          <t>食料品</t>
        </is>
      </c>
      <c r="B17" s="2" t="n">
        <v>2.8</v>
      </c>
      <c r="C17" s="2" t="n">
        <v>8765</v>
      </c>
    </row>
    <row r="18">
      <c r="A18" s="2" t="inlineStr">
        <is>
          <t>医薬品</t>
        </is>
      </c>
      <c r="B18" s="2" t="n">
        <v>2.3</v>
      </c>
      <c r="C18" s="2" t="n">
        <v>7934</v>
      </c>
    </row>
    <row r="19">
      <c r="A19" s="2" t="inlineStr">
        <is>
          <t>電気機器</t>
        </is>
      </c>
      <c r="B19" s="2" t="n">
        <v>1.7</v>
      </c>
      <c r="C19" s="2" t="n">
        <v>6450</v>
      </c>
    </row>
    <row r="20">
      <c r="A20" s="2" t="inlineStr">
        <is>
          <t>銀行業</t>
        </is>
      </c>
      <c r="B20" s="2" t="n">
        <v>1.5</v>
      </c>
      <c r="C20" s="2" t="n">
        <v>5740</v>
      </c>
    </row>
    <row r="21">
      <c r="A21" s="3" t="inlineStr">
        <is>
          <t>合計</t>
        </is>
      </c>
      <c r="B21" s="3" t="n">
        <v>100.4</v>
      </c>
      <c r="C21" s="3" t="n">
        <v>296864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2026-05-27T11:39:11Z</dcterms:created>
  <dcterms:modified xsi:type="dcterms:W3CDTF">2026-05-27T11:39:11Z</dcterms:modified>
</cp:coreProperties>
</file>